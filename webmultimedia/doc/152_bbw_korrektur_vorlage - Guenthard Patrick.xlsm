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autoCompressPictures="0"/>
  <bookViews>
    <workbookView xWindow="8880" yWindow="240" windowWidth="25605" windowHeight="16065"/>
  </bookViews>
  <sheets>
    <sheet name="Muster Hans" sheetId="1" r:id="rId1"/>
  </sheets>
  <definedNames>
    <definedName name="_xlnm.Print_Area" localSheetId="0">'Muster Hans'!$A$1:$E$1</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F43" i="1" l="1"/>
  <c r="E43" i="1"/>
  <c r="D43" i="1"/>
  <c r="F40" i="1"/>
  <c r="E40" i="1"/>
  <c r="D40" i="1"/>
  <c r="F39" i="1"/>
  <c r="E39" i="1"/>
  <c r="D39" i="1"/>
  <c r="F38" i="1"/>
  <c r="E38" i="1"/>
  <c r="D38" i="1"/>
  <c r="F37" i="1"/>
  <c r="E37" i="1"/>
  <c r="D37" i="1"/>
  <c r="C37" i="1"/>
  <c r="F35" i="1"/>
  <c r="E35" i="1"/>
  <c r="D35" i="1"/>
  <c r="F34" i="1"/>
  <c r="E34" i="1"/>
  <c r="D34" i="1"/>
  <c r="F33" i="1"/>
  <c r="E33" i="1"/>
  <c r="D33" i="1"/>
  <c r="C33" i="1"/>
  <c r="F31" i="1"/>
  <c r="E31" i="1"/>
  <c r="D31" i="1"/>
  <c r="F30" i="1"/>
  <c r="E30" i="1"/>
  <c r="D30" i="1"/>
  <c r="F29" i="1"/>
  <c r="E29" i="1"/>
  <c r="D29" i="1"/>
  <c r="C29" i="1"/>
  <c r="F27" i="1"/>
  <c r="E27" i="1"/>
  <c r="D27" i="1"/>
  <c r="F26" i="1"/>
  <c r="E26" i="1"/>
  <c r="D26" i="1"/>
  <c r="F25" i="1"/>
  <c r="E25" i="1"/>
  <c r="D25" i="1"/>
  <c r="C25" i="1"/>
  <c r="C42" i="1"/>
  <c r="F42" i="1"/>
  <c r="D42" i="1"/>
  <c r="E42" i="1"/>
  <c r="F44" i="1"/>
  <c r="D44" i="1"/>
  <c r="E44" i="1"/>
  <c r="F22" i="1"/>
  <c r="D22" i="1"/>
  <c r="E22" i="1"/>
  <c r="F17" i="1"/>
  <c r="D17" i="1"/>
  <c r="E17" i="1"/>
  <c r="F18" i="1"/>
  <c r="D18" i="1"/>
  <c r="E18" i="1"/>
  <c r="C7" i="1"/>
  <c r="C21" i="1"/>
  <c r="C46" i="1"/>
  <c r="F50" i="1"/>
  <c r="F7" i="1"/>
  <c r="F8" i="1"/>
  <c r="F9" i="1"/>
  <c r="F10" i="1"/>
  <c r="F12" i="1"/>
  <c r="F13" i="1"/>
  <c r="F14" i="1"/>
  <c r="F16" i="1"/>
  <c r="F19" i="1"/>
  <c r="F21" i="1"/>
  <c r="F23" i="1"/>
  <c r="F46" i="1"/>
  <c r="F51" i="1"/>
  <c r="C58" i="1"/>
  <c r="F58" i="1"/>
  <c r="D7" i="1"/>
  <c r="D8" i="1"/>
  <c r="D9" i="1"/>
  <c r="D10" i="1"/>
  <c r="D12" i="1"/>
  <c r="D13" i="1"/>
  <c r="D14" i="1"/>
  <c r="D16" i="1"/>
  <c r="D19" i="1"/>
  <c r="D21" i="1"/>
  <c r="D23" i="1"/>
  <c r="D46" i="1"/>
  <c r="F56" i="1"/>
  <c r="F54" i="1"/>
  <c r="E7" i="1"/>
  <c r="E8" i="1"/>
  <c r="E9" i="1"/>
  <c r="E10" i="1"/>
  <c r="E12" i="1"/>
  <c r="E13" i="1"/>
  <c r="E14" i="1"/>
  <c r="E16" i="1"/>
  <c r="E19" i="1"/>
  <c r="E21" i="1"/>
  <c r="E23" i="1"/>
  <c r="E46" i="1"/>
  <c r="F53" i="1"/>
  <c r="B1" i="1"/>
</calcChain>
</file>

<file path=xl/sharedStrings.xml><?xml version="1.0" encoding="utf-8"?>
<sst xmlns="http://schemas.openxmlformats.org/spreadsheetml/2006/main" count="159" uniqueCount="67">
  <si>
    <t>Name</t>
  </si>
  <si>
    <t>Datum:</t>
  </si>
  <si>
    <t>Handlungsziele und Handlungskompetenzen</t>
  </si>
  <si>
    <t>max</t>
  </si>
  <si>
    <t>forc.</t>
  </si>
  <si>
    <t>done</t>
  </si>
  <si>
    <t>P</t>
  </si>
  <si>
    <t>G</t>
  </si>
  <si>
    <t>L</t>
  </si>
  <si>
    <t>K</t>
  </si>
  <si>
    <t>J</t>
  </si>
  <si>
    <t>R</t>
  </si>
  <si>
    <t xml:space="preserve"> </t>
  </si>
  <si>
    <t>Hilfswerte</t>
  </si>
  <si>
    <t>Spaltenwerte</t>
  </si>
  <si>
    <t>Maximale Punktzahl</t>
  </si>
  <si>
    <t>Erreichte Punktzahl</t>
  </si>
  <si>
    <t>Anzahl bearbeitete Kompetenzen</t>
  </si>
  <si>
    <t>Anzahl vorgegebene Kompetenzen</t>
  </si>
  <si>
    <t>Prognostizierte Note</t>
  </si>
  <si>
    <t>Zeugnis</t>
  </si>
  <si>
    <t>M</t>
  </si>
  <si>
    <t>Noch nicht bearbeitet. Keine oder kaum Kompetenz.</t>
  </si>
  <si>
    <t>Rudimentäre Kenntnisse und Kompetenz erreicht. Kann einfache Handlungen umsetzen und grundlegende Fragen beantworten und Empfehlungen abgeben.</t>
  </si>
  <si>
    <t>Die elementaren Punkte studiert, verstanden und umgesetzt. Ist in der Lage die Kompetenz für Standardanwendungen produktiv anwenden. Kann umfassend technisch Auskunft geben und fachlich kompetente Empfehlungen abgeben.</t>
  </si>
  <si>
    <t>Gute Kompetenz. Kann die Handlungskompetenz für die gängigsten Situationen Produktiv und qualitativ hochwertig einsetzen. Kann technische Fragen versiert beantworten</t>
  </si>
  <si>
    <t>Sehr hohe Kompetenzstufe erreicht. Vertieftes Wissen (Background) angeeignet und hohe Kompetenz im Umgang erreicht. Ist in der Lage anspruchsvolle Aufgaben in diesem Bereich zu erfüllen.</t>
  </si>
  <si>
    <t>Bilder vorbereiten</t>
  </si>
  <si>
    <r>
      <t>·</t>
    </r>
    <r>
      <rPr>
        <sz val="7"/>
        <color rgb="FF000000"/>
        <rFont val="Times New Roman"/>
        <family val="1"/>
      </rPr>
      <t xml:space="preserve">       </t>
    </r>
    <r>
      <rPr>
        <sz val="8"/>
        <color rgb="FF000000"/>
        <rFont val="Verdana"/>
        <family val="2"/>
      </rPr>
      <t>Kennt die gängigen Bildformate (jpg, gif, png,..), deren Vor- und Nachteile, kann für ein bestimmte Bilder geeignete Formate wählen und diese in ein geeignetes Format konvertieren.</t>
    </r>
  </si>
  <si>
    <r>
      <t>·</t>
    </r>
    <r>
      <rPr>
        <sz val="7"/>
        <color rgb="FF000000"/>
        <rFont val="Times New Roman"/>
        <family val="1"/>
      </rPr>
      <t xml:space="preserve">       </t>
    </r>
    <r>
      <rPr>
        <sz val="8"/>
        <color rgb="FF000000"/>
        <rFont val="Verdana"/>
        <family val="2"/>
      </rPr>
      <t>Ist in der Lage eine Aussage über die Downloaddauer eines oder mehreren Bildern zu machen – dies für eine vorgegebene Bandbreite und Bildgrösse.</t>
    </r>
  </si>
  <si>
    <r>
      <t>·</t>
    </r>
    <r>
      <rPr>
        <sz val="7"/>
        <color rgb="FF000000"/>
        <rFont val="Times New Roman"/>
        <family val="1"/>
      </rPr>
      <t xml:space="preserve">       </t>
    </r>
    <r>
      <rPr>
        <sz val="8"/>
        <color rgb="FF000000"/>
        <rFont val="Verdana"/>
        <family val="2"/>
      </rPr>
      <t>Kann die Auflösung, Farbtiefe, Kompressionsrate und Grösse der Bilder den Anforderungen der Website entsprechend anpassen und ggf. mehrere Versionen desselben Bildes „anbieten“ (z.B. für den Druck).</t>
    </r>
  </si>
  <si>
    <r>
      <t>·</t>
    </r>
    <r>
      <rPr>
        <sz val="7"/>
        <color rgb="FF000000"/>
        <rFont val="Times New Roman"/>
        <family val="1"/>
      </rPr>
      <t xml:space="preserve">       </t>
    </r>
    <r>
      <rPr>
        <sz val="8"/>
        <color rgb="FF000000"/>
        <rFont val="Verdana"/>
        <family val="2"/>
      </rPr>
      <t>Kann ein Wasserzeichen einem Bild hinzufügen.</t>
    </r>
  </si>
  <si>
    <t>Bilder dartsellen</t>
  </si>
  <si>
    <t xml:space="preserve">• Kann die Bilddarstellung in einer Gallerie, Carousel etc. den technischen Möglichkeiten entsprechend einbinden und konfigurieren.
• Ist in der Lage von Bildern Thumbnails als Vorschau anzubieten und erst bei Bedarf das hochauflösende Bild zu Laden, dabei werden die Thumbnails dynamisch durch die Software generiert.
• Bilder können manuell (Click, Slider, Carousel,..) oder auch automatisch gespielt werden (Diashow)
</t>
  </si>
  <si>
    <t>Zu einem dargestellten Bild können weitere Informationen in Text ausgegeben / darstellt werden.</t>
  </si>
  <si>
    <t>Bilder upload</t>
  </si>
  <si>
    <r>
      <t>·</t>
    </r>
    <r>
      <rPr>
        <sz val="7"/>
        <color rgb="FF000000"/>
        <rFont val="Times New Roman"/>
        <family val="1"/>
      </rPr>
      <t xml:space="preserve">       </t>
    </r>
    <r>
      <rPr>
        <sz val="8"/>
        <color rgb="FF000000"/>
        <rFont val="Verdana"/>
        <family val="2"/>
      </rPr>
      <t>Kennt die Konzepte, welche beim Upload einer Datei über HTTP eine Rolle spielen, und kann mittels Upload Funktionalität einzelne oder mehrere Bilder (gleichzeitig) mit der Hilfe einer Library oder selbst programmierten Applikation auf den Webserver übertragen.</t>
    </r>
  </si>
  <si>
    <r>
      <t>·</t>
    </r>
    <r>
      <rPr>
        <sz val="7"/>
        <color rgb="FF000000"/>
        <rFont val="Times New Roman"/>
        <family val="1"/>
      </rPr>
      <t xml:space="preserve">       </t>
    </r>
    <r>
      <rPr>
        <sz val="8"/>
        <color rgb="FF000000"/>
        <rFont val="Verdana"/>
        <family val="2"/>
      </rPr>
      <t>Hochgeladene Bilder werden in die aktuelle Darstellung übernommen. Nach Bedarf werden neue Kategorien / Ordner manuell oder automatisch erstellt.</t>
    </r>
  </si>
  <si>
    <r>
      <t>·</t>
    </r>
    <r>
      <rPr>
        <sz val="7"/>
        <color rgb="FF000000"/>
        <rFont val="Times New Roman"/>
        <family val="1"/>
      </rPr>
      <t xml:space="preserve">       </t>
    </r>
    <r>
      <rPr>
        <sz val="8"/>
        <color rgb="FF000000"/>
        <rFont val="Verdana"/>
        <family val="2"/>
      </rPr>
      <t>Kennt Libraries für die Umwandlung von Bildern und kann hochgeladene Bilder automatisch mit den entsprechenden Eigenschaften (Auflösung, Grösse,..) umwandeln.</t>
    </r>
  </si>
  <si>
    <r>
      <t>·</t>
    </r>
    <r>
      <rPr>
        <sz val="7"/>
        <color rgb="FF000000"/>
        <rFont val="Times New Roman"/>
        <family val="1"/>
      </rPr>
      <t xml:space="preserve">       </t>
    </r>
    <r>
      <rPr>
        <sz val="8"/>
        <color rgb="FF000000"/>
        <rFont val="Verdana"/>
        <family val="2"/>
      </rPr>
      <t>Nach Bedarf werden von einem Bild eins oder mehrere (unterschiedlich grosse) Thumbnails erstellt.</t>
    </r>
  </si>
  <si>
    <t>Banner planen</t>
  </si>
  <si>
    <t>Kann einen Banner gemäss Anforderungen, beispielsweise mit einem Storyboard planen.</t>
  </si>
  <si>
    <t>Kennt mindestens eine Technologie (die nötigen Aspekte) zum Erstellen von animierten/dynamischen Bannern (z.B. Flash, HTML5, Edge Animate etc.).</t>
  </si>
  <si>
    <t>Kann einen Banner mit statischen und dynamischen Multimediainhalten erstellen (hat dies gemacht)..</t>
  </si>
  <si>
    <t>Kann den Banner in eine Webseite integrieren und Testen (hat dies gemacht).</t>
  </si>
  <si>
    <t>Storyboard planen</t>
  </si>
  <si>
    <t>Kurzer Videoclip planen, erstellen und integrieren</t>
  </si>
  <si>
    <t>Weiss wie ein Storyboard aufgebaut wird und kann für eine Idee eines Videoclips ein solches nach dessen Regeln von Hand auf dem Papier erstellen.</t>
  </si>
  <si>
    <t>Kennt Begriffe wie dpi und ppi und kann erläutern was hinter diesen Begriffen steht.</t>
  </si>
  <si>
    <t>Kann für einen Auftritt gemäss CI der Firma oder des Produktes Bilder für den Webauftritt sowie für Drucksachen bearbeiten und zur Verfügung stellen.</t>
  </si>
  <si>
    <t>Kann für einen Drucksache ein Bild in einem geeigneten Format und Grösse Bearbeiten und zur Verfügung stellen. Weiter kann er grob abschätzen welche Grösse ein Bild für eine bestimmte Grösse der Drucksache haben muss.</t>
  </si>
  <si>
    <t>Kennt die, im Zusammenhang mit Druck und Web stehenden, Bildformate und kann für eine bestimmte Situation geeignete Formate vorschlagen und begründen.</t>
  </si>
  <si>
    <t>Bilder für den Web und den Druck vorbereiten</t>
  </si>
  <si>
    <t>Überlegungen zum Copyright</t>
  </si>
  <si>
    <t>Kennt Möglichkeiten wie Bilder rechtlich (copyright,…) und technisch geschützt (Wasserzeichen,…) werden können.</t>
  </si>
  <si>
    <t>Kennt die Lizenzbestimmungen welche im Umgang mit verwendeter Software und Komponenten gelten.</t>
  </si>
  <si>
    <r>
      <t>·</t>
    </r>
    <r>
      <rPr>
        <sz val="7"/>
        <color rgb="FF000000"/>
        <rFont val="Times New Roman"/>
        <family val="1"/>
      </rPr>
      <t xml:space="preserve">       </t>
    </r>
    <r>
      <rPr>
        <sz val="8"/>
        <color rgb="FF000000"/>
        <rFont val="Verdana"/>
        <family val="2"/>
      </rPr>
      <t>Kennt verschiedene Möglichkeiten wie sich Bilder in einer Website präsentieren lassen und kann je nach Situation begründen, welche Variante welche Vor- und Nachteile bietet. Hat mindestens eine Variante praktisch erprobt und vertieft angeschaut.</t>
    </r>
  </si>
  <si>
    <t>Banner erstellen und integrieren</t>
  </si>
  <si>
    <t>Kennt die geltenden Bestimmungen punkto Copyright. Weiss welches Material unter welchen Bedingungen verwendet werden kann.
- Kennt verschiedene Quellen wo Multimediainhalt für die Verwendung in Clips legal bezogen werden kann.</t>
  </si>
  <si>
    <t>Kann verschiedene Multimediainhalte für die Verwendung im Banner erstellen und/oder vorbereiten.
- Kann dynamischen Inhalt wie Schriftzüge zur Verfügung stellen, welcher im Banner integriert wird.</t>
  </si>
  <si>
    <t>Kann Multimediainhalte mittels geeigneter Software dem Storyboard entsprechend zu einem Clip zusammenfügen.
- Kann Multimediainhalte (Video, Audio, Foto,..) die im Clip eingesetzt werden sollen mit geeigneten Aufnahmegeräten erstellen und das Material in ein geeignetes Format und eine geeignete Grösse rendern.</t>
  </si>
  <si>
    <t>Kann den Clip den Anforderungen der Website entsprechend aufbereiten.
- Weiss welche Technologien in welchen Browsern vorhanden sind und kann den bestehenden Clip entsprechend in eine Website integrieren.
- Kann für die Integration geeignete Komponenten finden, evaluieren und einsetzen.</t>
  </si>
  <si>
    <t>Kennt die geltenden Copyrightbestimmungen im Umgang mit Bilder welche auf einer Website verwendet (betreffend Darstellung, Druck, Weitergabe,..) werden.
- Kennt Quellen wo Bilder mit den entsprechenden Rechten erworben werden können.</t>
  </si>
  <si>
    <t>Kann die Anforderungen an einen Videoclip eruieren und spezifizieren
- Kann mittels Anforderungsspezifikation ein Storyboard erstellen</t>
  </si>
  <si>
    <t>Kennt verschiedene Kategorien von Bannern (statisch, dynamisch, Rich-Media, Nano-Site, Streaming etc.) und deren Verwendungszwecke/Einsatzgebiete.
- Kennt die verschiedenen Standardgrössen und Platzierungen / Integrationen in einer Website, beispielsweise für Google AdSense Werbung.
- Hat rudimentäre Kenntnisse über die Effektivität und Performance verschiedener Umsetzungen und wie diese geprüft werden kann.</t>
  </si>
  <si>
    <t>X</t>
  </si>
  <si>
    <t>x</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</si>
</sst>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17" x14ac:knownFonts="1">
    <font>
      <sz val="10"/>
      <name val="Arial"/>
    </font>
    <font>
      <sz val="10"/>
      <name val="Arial"/>
      <family val="2"/>
    </font>
    <font>
      <b/>
      <sz val="10"/>
      <name val="Arial"/>
      <family val="2"/>
    </font>
    <font>
      <sz val="8"/>
      <name val="Arial"/>
      <family val="2"/>
    </font>
    <font>
      <b/>
      <sz val="12"/>
      <color theme="1"/>
      <name val="Calibri"/>
      <family val="2"/>
      <scheme val="minor"/>
    </font>
    <font>
      <b/>
      <sz val="9"/>
      <color theme="1"/>
      <name val="Verdana"/>
      <family val="2"/>
    </font>
    <font>
      <b/>
      <sz val="22"/>
      <color theme="1"/>
      <name val="Verdana"/>
      <family val="2"/>
    </font>
    <font>
      <sz val="9"/>
      <color theme="1"/>
      <name val="Calibri"/>
      <family val="2"/>
      <scheme val="minor"/>
    </font>
    <font>
      <sz val="11"/>
      <color theme="0" tint="-0.34998626667073579"/>
      <name val="Calibri"/>
      <family val="2"/>
      <scheme val="minor"/>
    </font>
    <font>
      <b/>
      <sz val="18"/>
      <color theme="1"/>
      <name val="Wingdings"/>
      <charset val="2"/>
    </font>
    <font>
      <b/>
      <sz val="19"/>
      <color theme="1"/>
      <name val="Wingdings"/>
      <charset val="2"/>
    </font>
    <font>
      <b/>
      <sz val="11"/>
      <color theme="1"/>
      <name val="Calibri"/>
      <family val="2"/>
      <scheme val="minor"/>
    </font>
    <font>
      <sz val="11"/>
      <name val="Calibri"/>
      <family val="2"/>
      <scheme val="minor"/>
    </font>
    <font>
      <sz val="18"/>
      <color rgb="FF000000"/>
      <name val="Wingdings"/>
      <charset val="2"/>
    </font>
    <font>
      <sz val="8"/>
      <color rgb="FF000000"/>
      <name val="Verdana"/>
      <family val="2"/>
    </font>
    <font>
      <sz val="8"/>
      <color rgb="FF000000"/>
      <name val="Symbol"/>
      <family val="1"/>
      <charset val="2"/>
    </font>
    <font>
      <sz val="7"/>
      <color rgb="FF000000"/>
      <name val="Times New Roman"/>
      <family val="1"/>
    </font>
  </fonts>
  <fills count="3">
    <fill>
      <patternFill patternType="none"/>
    </fill>
    <fill>
      <patternFill patternType="gray125"/>
    </fill>
    <fill>
      <patternFill patternType="solid">
        <fgColor theme="0" tint="-0.249977111117893"/>
        <bgColor indexed="64"/>
      </patternFill>
    </fill>
  </fills>
  <borders count="1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top/>
      <bottom style="dotted">
        <color auto="1"/>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right style="dotted">
        <color auto="1"/>
      </right>
      <top/>
      <bottom style="dotted">
        <color auto="1"/>
      </bottom>
      <diagonal/>
    </border>
    <border>
      <left style="dotted">
        <color auto="1"/>
      </left>
      <right style="dotted">
        <color auto="1"/>
      </right>
      <top/>
      <bottom style="dotted">
        <color auto="1"/>
      </bottom>
      <diagonal/>
    </border>
    <border>
      <left style="dotted">
        <color auto="1"/>
      </left>
      <right/>
      <top/>
      <bottom style="dotted">
        <color auto="1"/>
      </bottom>
      <diagonal/>
    </border>
    <border>
      <left/>
      <right style="dotted">
        <color auto="1"/>
      </right>
      <top style="dotted">
        <color auto="1"/>
      </top>
      <bottom style="dotted">
        <color auto="1"/>
      </bottom>
      <diagonal/>
    </border>
    <border>
      <left/>
      <right style="dotted">
        <color auto="1"/>
      </right>
      <top style="dotted">
        <color auto="1"/>
      </top>
      <bottom/>
      <diagonal/>
    </border>
    <border>
      <left style="dotted">
        <color auto="1"/>
      </left>
      <right style="dotted">
        <color auto="1"/>
      </right>
      <top style="dotted">
        <color auto="1"/>
      </top>
      <bottom/>
      <diagonal/>
    </border>
    <border>
      <left style="dotted">
        <color auto="1"/>
      </left>
      <right/>
      <top style="dotted">
        <color auto="1"/>
      </top>
      <bottom/>
      <diagonal/>
    </border>
    <border>
      <left/>
      <right/>
      <top style="dotted">
        <color auto="1"/>
      </top>
      <bottom style="dotted">
        <color auto="1"/>
      </bottom>
      <diagonal/>
    </border>
  </borders>
  <cellStyleXfs count="1">
    <xf numFmtId="0" fontId="0" fillId="0" borderId="0"/>
  </cellStyleXfs>
  <cellXfs count="52">
    <xf numFmtId="0" fontId="0" fillId="0" borderId="0" xfId="0"/>
    <xf numFmtId="0" fontId="1" fillId="0" borderId="0" xfId="0" applyFont="1" applyAlignment="1">
      <alignment horizontal="center"/>
    </xf>
    <xf numFmtId="0" fontId="1" fillId="0" borderId="0" xfId="0" applyFont="1"/>
    <xf numFmtId="0" fontId="2" fillId="0" borderId="0" xfId="0" applyFont="1" applyAlignment="1">
      <alignment wrapText="1"/>
    </xf>
    <xf numFmtId="0" fontId="3" fillId="0" borderId="0" xfId="0" applyFont="1" applyAlignment="1">
      <alignment vertical="top" wrapText="1"/>
    </xf>
    <xf numFmtId="0" fontId="5" fillId="0" borderId="0" xfId="0" applyNumberFormat="1" applyFont="1" applyAlignment="1">
      <alignment vertical="center"/>
    </xf>
    <xf numFmtId="0" fontId="5" fillId="0" borderId="0" xfId="0" applyNumberFormat="1" applyFont="1" applyAlignment="1" applyProtection="1">
      <alignment vertical="center"/>
      <protection locked="0"/>
    </xf>
    <xf numFmtId="0" fontId="6" fillId="0" borderId="0" xfId="0" applyFont="1"/>
    <xf numFmtId="0" fontId="7" fillId="0" borderId="2" xfId="0" applyFont="1" applyBorder="1" applyAlignment="1">
      <alignment horizontal="center" vertical="center"/>
    </xf>
    <xf numFmtId="0" fontId="8" fillId="0" borderId="1" xfId="0" applyFont="1" applyBorder="1" applyAlignment="1">
      <alignment horizontal="center" vertical="center"/>
    </xf>
    <xf numFmtId="0" fontId="9" fillId="0" borderId="1" xfId="0" applyFont="1" applyBorder="1" applyAlignment="1">
      <alignment horizontal="center"/>
    </xf>
    <xf numFmtId="0" fontId="10" fillId="0" borderId="1" xfId="0" applyFont="1" applyBorder="1" applyAlignment="1">
      <alignment horizontal="center"/>
    </xf>
    <xf numFmtId="0" fontId="11" fillId="2" borderId="0" xfId="0" applyFont="1" applyFill="1" applyAlignment="1">
      <alignment horizontal="center" vertical="center"/>
    </xf>
    <xf numFmtId="0" fontId="11" fillId="0" borderId="5" xfId="0" applyFont="1" applyBorder="1" applyAlignment="1">
      <alignment horizontal="center" vertical="center"/>
    </xf>
    <xf numFmtId="0" fontId="12" fillId="0" borderId="6" xfId="0" applyFont="1" applyBorder="1" applyAlignment="1">
      <alignment horizontal="center" vertical="center" wrapText="1"/>
    </xf>
    <xf numFmtId="0" fontId="8" fillId="0" borderId="5" xfId="0" applyFont="1" applyBorder="1" applyAlignment="1">
      <alignment horizontal="center" vertical="center"/>
    </xf>
    <xf numFmtId="0" fontId="0" fillId="0" borderId="5" xfId="0" applyFont="1" applyBorder="1" applyAlignment="1" applyProtection="1">
      <alignment horizontal="center" vertical="center"/>
      <protection locked="0"/>
    </xf>
    <xf numFmtId="0" fontId="0" fillId="0" borderId="5" xfId="0" applyFont="1" applyBorder="1" applyAlignment="1">
      <alignment horizontal="center" vertical="center"/>
    </xf>
    <xf numFmtId="0" fontId="0" fillId="2" borderId="0" xfId="0" applyFont="1" applyFill="1" applyAlignment="1">
      <alignment horizontal="center" vertical="center"/>
    </xf>
    <xf numFmtId="0" fontId="0" fillId="0" borderId="0" xfId="0" applyAlignment="1">
      <alignment horizontal="center" vertical="center"/>
    </xf>
    <xf numFmtId="0" fontId="0" fillId="0" borderId="0" xfId="0" applyAlignment="1">
      <alignment horizontal="right" vertical="center" wrapText="1"/>
    </xf>
    <xf numFmtId="0" fontId="0" fillId="0" borderId="0" xfId="0" applyAlignment="1">
      <alignment horizontal="center" vertical="center" wrapText="1"/>
    </xf>
    <xf numFmtId="0" fontId="12" fillId="0" borderId="0" xfId="0" applyFont="1" applyFill="1" applyBorder="1" applyAlignment="1">
      <alignment horizontal="center" vertical="center"/>
    </xf>
    <xf numFmtId="0" fontId="11" fillId="0" borderId="1" xfId="0" applyFont="1" applyBorder="1" applyAlignment="1">
      <alignment horizontal="center" vertical="center" wrapText="1"/>
    </xf>
    <xf numFmtId="164" fontId="0" fillId="0" borderId="0" xfId="0" applyNumberFormat="1" applyAlignment="1">
      <alignment horizontal="center" vertical="center" wrapText="1"/>
    </xf>
    <xf numFmtId="164" fontId="11" fillId="0" borderId="0" xfId="0" applyNumberFormat="1" applyFont="1" applyAlignment="1">
      <alignment horizontal="center" vertical="center"/>
    </xf>
    <xf numFmtId="0" fontId="9" fillId="0" borderId="0" xfId="0" applyFont="1" applyBorder="1" applyAlignment="1">
      <alignment horizontal="center"/>
    </xf>
    <xf numFmtId="0" fontId="0" fillId="0" borderId="0" xfId="0" applyBorder="1" applyAlignment="1">
      <alignment vertical="top" wrapText="1"/>
    </xf>
    <xf numFmtId="0" fontId="13" fillId="0" borderId="7" xfId="0" applyFont="1" applyBorder="1" applyAlignment="1">
      <alignment horizontal="center" vertical="center" wrapText="1"/>
    </xf>
    <xf numFmtId="0" fontId="14" fillId="0" borderId="8" xfId="0" applyFont="1" applyBorder="1" applyAlignment="1">
      <alignment vertical="center" wrapText="1"/>
    </xf>
    <xf numFmtId="0" fontId="0" fillId="0" borderId="8" xfId="0" applyBorder="1" applyAlignment="1">
      <alignment vertical="top" wrapText="1"/>
    </xf>
    <xf numFmtId="0" fontId="0" fillId="0" borderId="9" xfId="0" applyBorder="1" applyAlignment="1">
      <alignment horizontal="center" vertical="center"/>
    </xf>
    <xf numFmtId="0" fontId="9" fillId="0" borderId="10" xfId="0" applyFont="1" applyBorder="1" applyAlignment="1">
      <alignment horizontal="center" vertical="center"/>
    </xf>
    <xf numFmtId="0" fontId="14" fillId="0" borderId="5" xfId="0" applyFont="1" applyBorder="1" applyAlignment="1">
      <alignment vertical="center" wrapText="1"/>
    </xf>
    <xf numFmtId="0" fontId="0" fillId="0" borderId="5" xfId="0" applyBorder="1" applyAlignment="1">
      <alignment vertical="top" wrapText="1"/>
    </xf>
    <xf numFmtId="0" fontId="0" fillId="0" borderId="6" xfId="0" applyBorder="1" applyAlignment="1">
      <alignment horizontal="center" vertical="center"/>
    </xf>
    <xf numFmtId="0" fontId="9" fillId="0" borderId="11" xfId="0" applyFont="1" applyBorder="1" applyAlignment="1">
      <alignment horizontal="center" vertical="center"/>
    </xf>
    <xf numFmtId="0" fontId="14" fillId="0" borderId="12" xfId="0" applyFont="1" applyBorder="1" applyAlignment="1">
      <alignment vertical="center" wrapText="1"/>
    </xf>
    <xf numFmtId="0" fontId="0" fillId="0" borderId="12" xfId="0" applyBorder="1" applyAlignment="1">
      <alignment vertical="top" wrapText="1"/>
    </xf>
    <xf numFmtId="0" fontId="0" fillId="0" borderId="13" xfId="0" applyBorder="1" applyAlignment="1">
      <alignment horizontal="center" vertical="center"/>
    </xf>
    <xf numFmtId="0" fontId="1" fillId="0" borderId="6" xfId="0" applyFont="1" applyBorder="1" applyAlignment="1">
      <alignment vertical="top" wrapText="1"/>
    </xf>
    <xf numFmtId="0" fontId="15" fillId="0" borderId="0" xfId="0" applyFont="1" applyAlignment="1">
      <alignment horizontal="left" vertical="center" wrapText="1" indent="1"/>
    </xf>
    <xf numFmtId="0" fontId="1" fillId="0" borderId="6" xfId="0" applyFont="1" applyBorder="1" applyAlignment="1">
      <alignment horizontal="left" vertical="top" wrapText="1" indent="1"/>
    </xf>
    <xf numFmtId="0" fontId="14" fillId="0" borderId="0" xfId="0" applyFont="1" applyAlignment="1">
      <alignment horizontal="left" wrapText="1" indent="1"/>
    </xf>
    <xf numFmtId="0" fontId="1" fillId="2" borderId="0" xfId="0" applyFont="1" applyFill="1"/>
    <xf numFmtId="0" fontId="0" fillId="2" borderId="0" xfId="0" applyFill="1"/>
    <xf numFmtId="0" fontId="1" fillId="2" borderId="14" xfId="0" applyFont="1" applyFill="1" applyBorder="1"/>
    <xf numFmtId="0" fontId="0" fillId="2" borderId="14" xfId="0" applyFill="1" applyBorder="1"/>
    <xf numFmtId="0" fontId="4" fillId="0" borderId="3" xfId="0" applyFont="1" applyBorder="1" applyAlignment="1">
      <alignment vertical="center"/>
    </xf>
    <xf numFmtId="0" fontId="4" fillId="0" borderId="2" xfId="0" applyFont="1" applyBorder="1" applyAlignment="1">
      <alignment vertical="center"/>
    </xf>
    <xf numFmtId="0" fontId="1" fillId="2" borderId="4" xfId="0" applyFont="1" applyFill="1" applyBorder="1" applyAlignment="1">
      <alignment vertical="center"/>
    </xf>
    <xf numFmtId="0" fontId="0" fillId="2" borderId="4" xfId="0" applyFont="1" applyFill="1" applyBorder="1" applyAlignment="1">
      <alignment vertical="center"/>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enableFormatConditionsCalculation="0"/>
  <dimension ref="A1:K64"/>
  <sheetViews>
    <sheetView tabSelected="1" topLeftCell="A31" workbookViewId="0">
      <selection activeCell="K54" sqref="K54"/>
    </sheetView>
  </sheetViews>
  <sheetFormatPr baseColWidth="10" defaultRowHeight="12.75" x14ac:dyDescent="0.2"/>
  <cols>
    <col min="1" max="1" width="15" customWidth="1"/>
    <col min="2" max="2" width="71.42578125" customWidth="1"/>
    <col min="3" max="4" width="4.7109375" customWidth="1"/>
    <col min="5" max="5" width="16.42578125" customWidth="1"/>
  </cols>
  <sheetData>
    <row r="1" spans="1:11" x14ac:dyDescent="0.2">
      <c r="A1" s="2" t="s">
        <v>0</v>
      </c>
      <c r="B1" s="3" t="str">
        <f ca="1">MID(CELL("dateiname",A1),FIND("]",CELL("dateiname",A1))+1,255)</f>
        <v>Muster Hans</v>
      </c>
      <c r="C1" s="1"/>
      <c r="D1" s="1"/>
      <c r="E1" s="4"/>
    </row>
    <row r="2" spans="1:11" ht="27" x14ac:dyDescent="0.35">
      <c r="A2" s="5" t="s">
        <v>1</v>
      </c>
      <c r="B2" s="6"/>
      <c r="C2" s="7"/>
      <c r="D2" s="7"/>
      <c r="E2" s="7"/>
      <c r="F2" s="7"/>
      <c r="G2" s="7"/>
      <c r="H2" s="7"/>
      <c r="I2" s="7"/>
      <c r="J2" s="7"/>
      <c r="K2" s="7"/>
    </row>
    <row r="4" spans="1:11" ht="23.25" x14ac:dyDescent="0.3">
      <c r="A4" s="48" t="s">
        <v>2</v>
      </c>
      <c r="B4" s="49"/>
      <c r="C4" s="8" t="s">
        <v>3</v>
      </c>
      <c r="D4" s="8" t="s">
        <v>4</v>
      </c>
      <c r="E4" s="8" t="s">
        <v>5</v>
      </c>
      <c r="F4" s="9" t="s">
        <v>6</v>
      </c>
      <c r="G4" s="9" t="s">
        <v>7</v>
      </c>
      <c r="H4" s="10" t="s">
        <v>8</v>
      </c>
      <c r="I4" s="10" t="s">
        <v>9</v>
      </c>
      <c r="J4" s="10" t="s">
        <v>10</v>
      </c>
      <c r="K4" s="11" t="s">
        <v>11</v>
      </c>
    </row>
    <row r="5" spans="1:11" ht="6" customHeight="1" x14ac:dyDescent="0.2"/>
    <row r="6" spans="1:11" ht="18.75" customHeight="1" x14ac:dyDescent="0.2">
      <c r="A6" s="12">
        <v>1</v>
      </c>
      <c r="B6" s="50" t="s">
        <v>27</v>
      </c>
      <c r="C6" s="51"/>
      <c r="D6" s="51"/>
      <c r="E6" s="51"/>
      <c r="F6" s="51"/>
      <c r="G6" s="51"/>
      <c r="H6" s="51"/>
      <c r="I6" s="51"/>
      <c r="J6" s="51"/>
      <c r="K6" s="51"/>
    </row>
    <row r="7" spans="1:11" ht="31.5" x14ac:dyDescent="0.2">
      <c r="A7" s="13">
        <v>1.1000000000000001</v>
      </c>
      <c r="B7" s="41" t="s">
        <v>28</v>
      </c>
      <c r="C7" s="14">
        <f>4*G7</f>
        <v>4</v>
      </c>
      <c r="D7" s="14">
        <f>IF(F7&gt;0,G7*4,0)</f>
        <v>4</v>
      </c>
      <c r="E7" s="14" t="str">
        <f>IF(F7&gt;0,"d","")</f>
        <v>d</v>
      </c>
      <c r="F7" s="15">
        <f>IF(H7="x",1,IF(I7="x",2,IF(J7="x",3,IF(K7="x",4,0))))</f>
        <v>4</v>
      </c>
      <c r="G7" s="15">
        <v>1</v>
      </c>
      <c r="H7" s="16"/>
      <c r="I7" s="16"/>
      <c r="J7" s="16" t="s">
        <v>12</v>
      </c>
      <c r="K7" s="16" t="s">
        <v>65</v>
      </c>
    </row>
    <row r="8" spans="1:11" ht="21" x14ac:dyDescent="0.2">
      <c r="A8" s="13">
        <v>1.2</v>
      </c>
      <c r="B8" s="41" t="s">
        <v>29</v>
      </c>
      <c r="C8" s="14">
        <v>4</v>
      </c>
      <c r="D8" s="14">
        <f>IF(F8&gt;0,G8*4,0)</f>
        <v>4</v>
      </c>
      <c r="E8" s="14" t="str">
        <f>IF(F8&gt;0,"d","")</f>
        <v>d</v>
      </c>
      <c r="F8" s="15">
        <f>IF(H8="x",1,IF(I8="x",2,IF(J8="x",3,IF(K8="x",4,0))))</f>
        <v>3</v>
      </c>
      <c r="G8" s="15">
        <v>1</v>
      </c>
      <c r="H8" s="16"/>
      <c r="I8" s="16"/>
      <c r="J8" s="16" t="s">
        <v>65</v>
      </c>
      <c r="K8" s="16" t="s">
        <v>12</v>
      </c>
    </row>
    <row r="9" spans="1:11" ht="31.5" x14ac:dyDescent="0.2">
      <c r="A9" s="13">
        <v>1.3</v>
      </c>
      <c r="B9" s="41" t="s">
        <v>30</v>
      </c>
      <c r="C9" s="14">
        <v>4</v>
      </c>
      <c r="D9" s="14">
        <f t="shared" ref="D9:D10" si="0">IF(F9&gt;0,G9*4,0)</f>
        <v>4</v>
      </c>
      <c r="E9" s="14" t="str">
        <f t="shared" ref="E9:E10" si="1">IF(F9&gt;0,"d","")</f>
        <v>d</v>
      </c>
      <c r="F9" s="15">
        <f t="shared" ref="F9:F10" si="2">IF(H9="x",1,IF(I9="x",2,IF(J9="x",3,IF(K9="x",4,0))))</f>
        <v>3</v>
      </c>
      <c r="G9" s="15">
        <v>1</v>
      </c>
      <c r="H9" s="16"/>
      <c r="I9" s="16" t="s">
        <v>12</v>
      </c>
      <c r="J9" s="16" t="s">
        <v>65</v>
      </c>
      <c r="K9" s="16" t="s">
        <v>12</v>
      </c>
    </row>
    <row r="10" spans="1:11" ht="15" x14ac:dyDescent="0.2">
      <c r="A10" s="13">
        <v>1.4</v>
      </c>
      <c r="B10" s="41" t="s">
        <v>31</v>
      </c>
      <c r="C10" s="14">
        <v>4</v>
      </c>
      <c r="D10" s="14">
        <f t="shared" si="0"/>
        <v>4</v>
      </c>
      <c r="E10" s="14" t="str">
        <f t="shared" si="1"/>
        <v>d</v>
      </c>
      <c r="F10" s="15">
        <f t="shared" si="2"/>
        <v>3</v>
      </c>
      <c r="G10" s="15">
        <v>1</v>
      </c>
      <c r="H10" s="16"/>
      <c r="I10" s="16" t="s">
        <v>12</v>
      </c>
      <c r="J10" s="16" t="s">
        <v>65</v>
      </c>
      <c r="K10" s="16" t="s">
        <v>12</v>
      </c>
    </row>
    <row r="11" spans="1:11" ht="15" x14ac:dyDescent="0.2">
      <c r="A11" s="12">
        <v>2</v>
      </c>
      <c r="B11" s="44" t="s">
        <v>32</v>
      </c>
      <c r="C11" s="45"/>
      <c r="D11" s="45"/>
      <c r="E11" s="45"/>
      <c r="F11" s="45"/>
      <c r="G11" s="45"/>
      <c r="H11" s="45"/>
      <c r="I11" s="45"/>
      <c r="J11" s="45"/>
      <c r="K11" s="45"/>
    </row>
    <row r="12" spans="1:11" ht="42" x14ac:dyDescent="0.2">
      <c r="A12" s="13">
        <v>2.1</v>
      </c>
      <c r="B12" s="41" t="s">
        <v>56</v>
      </c>
      <c r="C12" s="14">
        <v>4</v>
      </c>
      <c r="D12" s="14">
        <f t="shared" ref="D12:D14" si="3">IF(F12&gt;0,G12*4,0)</f>
        <v>4</v>
      </c>
      <c r="E12" s="14" t="str">
        <f t="shared" ref="E12:E14" si="4">IF(F12&gt;0,"d","")</f>
        <v>d</v>
      </c>
      <c r="F12" s="15">
        <f t="shared" ref="F12:F14" si="5">IF(H12="x",1,IF(I12="x",2,IF(J12="x",3,IF(K12="x",4,0))))</f>
        <v>4</v>
      </c>
      <c r="G12" s="15">
        <v>1</v>
      </c>
      <c r="H12" s="16"/>
      <c r="I12" s="16" t="s">
        <v>12</v>
      </c>
      <c r="J12" s="16" t="s">
        <v>12</v>
      </c>
      <c r="K12" s="16" t="s">
        <v>65</v>
      </c>
    </row>
    <row r="13" spans="1:11" ht="93.75" customHeight="1" x14ac:dyDescent="0.2">
      <c r="A13" s="13">
        <v>2.2000000000000002</v>
      </c>
      <c r="B13" s="42" t="s">
        <v>33</v>
      </c>
      <c r="C13" s="14">
        <v>4</v>
      </c>
      <c r="D13" s="14">
        <f t="shared" si="3"/>
        <v>4</v>
      </c>
      <c r="E13" s="14" t="str">
        <f t="shared" si="4"/>
        <v>d</v>
      </c>
      <c r="F13" s="15">
        <f t="shared" si="5"/>
        <v>3</v>
      </c>
      <c r="G13" s="15">
        <v>1</v>
      </c>
      <c r="H13" s="16" t="s">
        <v>12</v>
      </c>
      <c r="I13" s="16"/>
      <c r="J13" s="16" t="s">
        <v>65</v>
      </c>
      <c r="K13" s="16"/>
    </row>
    <row r="14" spans="1:11" ht="21.75" x14ac:dyDescent="0.2">
      <c r="A14" s="13">
        <v>2.2999999999999998</v>
      </c>
      <c r="B14" s="43" t="s">
        <v>34</v>
      </c>
      <c r="C14" s="14">
        <v>4</v>
      </c>
      <c r="D14" s="14">
        <f t="shared" si="3"/>
        <v>4</v>
      </c>
      <c r="E14" s="14" t="str">
        <f t="shared" si="4"/>
        <v>d</v>
      </c>
      <c r="F14" s="15">
        <f t="shared" si="5"/>
        <v>2</v>
      </c>
      <c r="G14" s="15">
        <v>1</v>
      </c>
      <c r="H14" s="16" t="s">
        <v>12</v>
      </c>
      <c r="I14" s="16" t="s">
        <v>65</v>
      </c>
      <c r="J14" s="16" t="s">
        <v>12</v>
      </c>
      <c r="K14" s="16" t="s">
        <v>12</v>
      </c>
    </row>
    <row r="15" spans="1:11" ht="15" x14ac:dyDescent="0.2">
      <c r="A15" s="12">
        <v>3</v>
      </c>
      <c r="B15" s="44" t="s">
        <v>35</v>
      </c>
      <c r="C15" s="45"/>
      <c r="D15" s="45"/>
      <c r="E15" s="45"/>
      <c r="F15" s="45"/>
      <c r="G15" s="45"/>
      <c r="H15" s="45"/>
      <c r="I15" s="45"/>
      <c r="J15" s="45"/>
      <c r="K15" s="45"/>
    </row>
    <row r="16" spans="1:11" ht="64.5" customHeight="1" x14ac:dyDescent="0.2">
      <c r="A16" s="13">
        <v>3.1</v>
      </c>
      <c r="B16" s="41" t="s">
        <v>36</v>
      </c>
      <c r="C16" s="14">
        <v>4</v>
      </c>
      <c r="D16" s="14">
        <f t="shared" ref="D16:D19" si="6">IF(F16&gt;0,G16*4,0)</f>
        <v>4</v>
      </c>
      <c r="E16" s="14" t="str">
        <f t="shared" ref="E16:E19" si="7">IF(F16&gt;0,"d","")</f>
        <v>d</v>
      </c>
      <c r="F16" s="15">
        <f t="shared" ref="F16:F19" si="8">IF(H16="x",1,IF(I16="x",2,IF(J16="x",3,IF(K16="x",4,0))))</f>
        <v>4</v>
      </c>
      <c r="G16" s="15">
        <v>1</v>
      </c>
      <c r="H16" s="16" t="s">
        <v>12</v>
      </c>
      <c r="I16" s="16"/>
      <c r="J16" s="16" t="s">
        <v>12</v>
      </c>
      <c r="K16" s="16" t="s">
        <v>66</v>
      </c>
    </row>
    <row r="17" spans="1:11" ht="21" x14ac:dyDescent="0.2">
      <c r="A17" s="13">
        <v>3.2</v>
      </c>
      <c r="B17" s="41" t="s">
        <v>37</v>
      </c>
      <c r="C17" s="14">
        <v>4</v>
      </c>
      <c r="D17" s="14">
        <f t="shared" ref="D17:D18" si="9">IF(F17&gt;0,G17*4,0)</f>
        <v>4</v>
      </c>
      <c r="E17" s="14" t="str">
        <f t="shared" ref="E17:E18" si="10">IF(F17&gt;0,"d","")</f>
        <v>d</v>
      </c>
      <c r="F17" s="15">
        <f t="shared" ref="F17:F18" si="11">IF(H17="x",1,IF(I17="x",2,IF(J17="x",3,IF(K17="x",4,0))))</f>
        <v>4</v>
      </c>
      <c r="G17" s="15">
        <v>1</v>
      </c>
      <c r="H17" s="16" t="s">
        <v>12</v>
      </c>
      <c r="I17" s="16"/>
      <c r="J17" s="16" t="s">
        <v>12</v>
      </c>
      <c r="K17" s="16" t="s">
        <v>66</v>
      </c>
    </row>
    <row r="18" spans="1:11" ht="31.5" x14ac:dyDescent="0.2">
      <c r="A18" s="13">
        <v>3.3</v>
      </c>
      <c r="B18" s="41" t="s">
        <v>38</v>
      </c>
      <c r="C18" s="14">
        <v>4</v>
      </c>
      <c r="D18" s="14">
        <f t="shared" si="9"/>
        <v>4</v>
      </c>
      <c r="E18" s="14" t="str">
        <f t="shared" si="10"/>
        <v>d</v>
      </c>
      <c r="F18" s="15">
        <f t="shared" si="11"/>
        <v>2</v>
      </c>
      <c r="G18" s="15">
        <v>1</v>
      </c>
      <c r="H18" s="16" t="s">
        <v>12</v>
      </c>
      <c r="I18" s="16" t="s">
        <v>66</v>
      </c>
      <c r="J18" s="16"/>
      <c r="K18" s="16" t="s">
        <v>12</v>
      </c>
    </row>
    <row r="19" spans="1:11" ht="21" x14ac:dyDescent="0.2">
      <c r="A19" s="13">
        <v>3.4</v>
      </c>
      <c r="B19" s="41" t="s">
        <v>39</v>
      </c>
      <c r="C19" s="14">
        <v>4</v>
      </c>
      <c r="D19" s="14">
        <f t="shared" si="6"/>
        <v>4</v>
      </c>
      <c r="E19" s="14" t="str">
        <f t="shared" si="7"/>
        <v>d</v>
      </c>
      <c r="F19" s="15">
        <f t="shared" si="8"/>
        <v>2</v>
      </c>
      <c r="G19" s="15">
        <v>1</v>
      </c>
      <c r="H19" s="16" t="s">
        <v>12</v>
      </c>
      <c r="I19" s="16" t="s">
        <v>66</v>
      </c>
      <c r="J19" s="16" t="s">
        <v>12</v>
      </c>
      <c r="K19" s="16" t="s">
        <v>12</v>
      </c>
    </row>
    <row r="20" spans="1:11" x14ac:dyDescent="0.2">
      <c r="A20" s="18">
        <v>4</v>
      </c>
      <c r="B20" s="44" t="s">
        <v>40</v>
      </c>
      <c r="C20" s="45"/>
      <c r="D20" s="45"/>
      <c r="E20" s="45"/>
      <c r="F20" s="45"/>
      <c r="G20" s="45"/>
      <c r="H20" s="45"/>
      <c r="I20" s="45"/>
      <c r="J20" s="45"/>
      <c r="K20" s="45"/>
    </row>
    <row r="21" spans="1:11" ht="102" customHeight="1" x14ac:dyDescent="0.2">
      <c r="A21" s="13">
        <v>4.0999999999999996</v>
      </c>
      <c r="B21" s="40" t="s">
        <v>64</v>
      </c>
      <c r="C21" s="14">
        <f t="shared" ref="C21" si="12">4*G21</f>
        <v>4</v>
      </c>
      <c r="D21" s="14">
        <f t="shared" ref="D21:D23" si="13">IF(F21&gt;0,G21*4,0)</f>
        <v>4</v>
      </c>
      <c r="E21" s="14" t="str">
        <f t="shared" ref="E21:E23" si="14">IF(F21&gt;0,"d","")</f>
        <v>d</v>
      </c>
      <c r="F21" s="15">
        <f t="shared" ref="F21:F23" si="15">IF(H21="x",1,IF(I21="x",2,IF(J21="x",3,IF(K21="x",4,0))))</f>
        <v>4</v>
      </c>
      <c r="G21" s="15">
        <v>1</v>
      </c>
      <c r="H21" s="16" t="s">
        <v>12</v>
      </c>
      <c r="I21" s="16"/>
      <c r="J21" s="16" t="s">
        <v>12</v>
      </c>
      <c r="K21" s="16" t="s">
        <v>66</v>
      </c>
    </row>
    <row r="22" spans="1:11" ht="33" customHeight="1" x14ac:dyDescent="0.2">
      <c r="A22" s="13">
        <v>4.2</v>
      </c>
      <c r="B22" s="40" t="s">
        <v>41</v>
      </c>
      <c r="C22" s="14">
        <v>4</v>
      </c>
      <c r="D22" s="14">
        <f t="shared" ref="D22" si="16">IF(F22&gt;0,G22*4,0)</f>
        <v>4</v>
      </c>
      <c r="E22" s="14" t="str">
        <f t="shared" ref="E22" si="17">IF(F22&gt;0,"d","")</f>
        <v>d</v>
      </c>
      <c r="F22" s="15">
        <f t="shared" ref="F22" si="18">IF(H22="x",1,IF(I22="x",2,IF(J22="x",3,IF(K22="x",4,0))))</f>
        <v>4</v>
      </c>
      <c r="G22" s="15">
        <v>1</v>
      </c>
      <c r="H22" s="16" t="s">
        <v>12</v>
      </c>
      <c r="I22" s="16"/>
      <c r="J22" s="16" t="s">
        <v>12</v>
      </c>
      <c r="K22" s="16" t="s">
        <v>66</v>
      </c>
    </row>
    <row r="23" spans="1:11" ht="51" x14ac:dyDescent="0.2">
      <c r="A23" s="13">
        <v>4.3</v>
      </c>
      <c r="B23" s="40" t="s">
        <v>59</v>
      </c>
      <c r="C23" s="14">
        <v>4</v>
      </c>
      <c r="D23" s="14">
        <f t="shared" si="13"/>
        <v>4</v>
      </c>
      <c r="E23" s="14" t="str">
        <f t="shared" si="14"/>
        <v>d</v>
      </c>
      <c r="F23" s="15">
        <f t="shared" si="15"/>
        <v>4</v>
      </c>
      <c r="G23" s="15">
        <v>1</v>
      </c>
      <c r="H23" s="16" t="s">
        <v>12</v>
      </c>
      <c r="I23" s="16"/>
      <c r="J23" s="16"/>
      <c r="K23" s="16" t="s">
        <v>66</v>
      </c>
    </row>
    <row r="24" spans="1:11" x14ac:dyDescent="0.2">
      <c r="A24" s="18">
        <v>4</v>
      </c>
      <c r="B24" s="44" t="s">
        <v>57</v>
      </c>
      <c r="C24" s="45"/>
      <c r="D24" s="45"/>
      <c r="E24" s="45"/>
      <c r="F24" s="45"/>
      <c r="G24" s="45"/>
      <c r="H24" s="45"/>
      <c r="I24" s="45"/>
      <c r="J24" s="45"/>
      <c r="K24" s="45"/>
    </row>
    <row r="25" spans="1:11" ht="25.5" x14ac:dyDescent="0.2">
      <c r="A25" s="13">
        <v>4.4000000000000004</v>
      </c>
      <c r="B25" s="40" t="s">
        <v>42</v>
      </c>
      <c r="C25" s="14">
        <f t="shared" ref="C25" si="19">4*G25</f>
        <v>4</v>
      </c>
      <c r="D25" s="14">
        <f t="shared" ref="D25:D27" si="20">IF(F25&gt;0,G25*4,0)</f>
        <v>4</v>
      </c>
      <c r="E25" s="14" t="str">
        <f t="shared" ref="E25:E27" si="21">IF(F25&gt;0,"d","")</f>
        <v>d</v>
      </c>
      <c r="F25" s="15">
        <f t="shared" ref="F25:F27" si="22">IF(H25="x",1,IF(I25="x",2,IF(J25="x",3,IF(K25="x",4,0))))</f>
        <v>4</v>
      </c>
      <c r="G25" s="15">
        <v>1</v>
      </c>
      <c r="H25" s="16" t="s">
        <v>12</v>
      </c>
      <c r="I25" s="16"/>
      <c r="J25" s="16" t="s">
        <v>12</v>
      </c>
      <c r="K25" s="16" t="s">
        <v>66</v>
      </c>
    </row>
    <row r="26" spans="1:11" ht="25.5" x14ac:dyDescent="0.2">
      <c r="A26" s="13">
        <v>4.5</v>
      </c>
      <c r="B26" s="40" t="s">
        <v>43</v>
      </c>
      <c r="C26" s="14">
        <v>4</v>
      </c>
      <c r="D26" s="14">
        <f t="shared" si="20"/>
        <v>4</v>
      </c>
      <c r="E26" s="14" t="str">
        <f t="shared" si="21"/>
        <v>d</v>
      </c>
      <c r="F26" s="15">
        <f t="shared" si="22"/>
        <v>4</v>
      </c>
      <c r="G26" s="15">
        <v>1</v>
      </c>
      <c r="H26" s="16" t="s">
        <v>12</v>
      </c>
      <c r="I26" s="16"/>
      <c r="J26" s="16" t="s">
        <v>12</v>
      </c>
      <c r="K26" s="16" t="s">
        <v>66</v>
      </c>
    </row>
    <row r="27" spans="1:11" ht="15" x14ac:dyDescent="0.2">
      <c r="A27" s="13">
        <v>4.5999999999999996</v>
      </c>
      <c r="B27" s="40" t="s">
        <v>44</v>
      </c>
      <c r="C27" s="14">
        <v>4</v>
      </c>
      <c r="D27" s="14">
        <f t="shared" si="20"/>
        <v>4</v>
      </c>
      <c r="E27" s="14" t="str">
        <f t="shared" si="21"/>
        <v>d</v>
      </c>
      <c r="F27" s="15">
        <f t="shared" si="22"/>
        <v>4</v>
      </c>
      <c r="G27" s="15">
        <v>1</v>
      </c>
      <c r="H27" s="16" t="s">
        <v>12</v>
      </c>
      <c r="I27" s="16"/>
      <c r="J27" s="16" t="s">
        <v>12</v>
      </c>
      <c r="K27" s="16" t="s">
        <v>66</v>
      </c>
    </row>
    <row r="28" spans="1:11" x14ac:dyDescent="0.2">
      <c r="A28" s="18">
        <v>5</v>
      </c>
      <c r="B28" s="44" t="s">
        <v>45</v>
      </c>
      <c r="C28" s="45"/>
      <c r="D28" s="45"/>
      <c r="E28" s="45"/>
      <c r="F28" s="45"/>
      <c r="G28" s="45"/>
      <c r="H28" s="45"/>
      <c r="I28" s="45"/>
      <c r="J28" s="45"/>
      <c r="K28" s="45"/>
    </row>
    <row r="29" spans="1:11" ht="25.5" x14ac:dyDescent="0.2">
      <c r="A29" s="13">
        <v>5.0999999999999996</v>
      </c>
      <c r="B29" s="40" t="s">
        <v>63</v>
      </c>
      <c r="C29" s="14">
        <f t="shared" ref="C29" si="23">4*G29</f>
        <v>4</v>
      </c>
      <c r="D29" s="14">
        <f t="shared" ref="D29:D31" si="24">IF(F29&gt;0,G29*4,0)</f>
        <v>4</v>
      </c>
      <c r="E29" s="14" t="str">
        <f t="shared" ref="E29:E31" si="25">IF(F29&gt;0,"d","")</f>
        <v>d</v>
      </c>
      <c r="F29" s="15">
        <f t="shared" ref="F29:F31" si="26">IF(H29="x",1,IF(I29="x",2,IF(J29="x",3,IF(K29="x",4,0))))</f>
        <v>3</v>
      </c>
      <c r="G29" s="15">
        <v>1</v>
      </c>
      <c r="H29" s="16" t="s">
        <v>12</v>
      </c>
      <c r="I29" s="16"/>
      <c r="J29" s="16" t="s">
        <v>66</v>
      </c>
      <c r="K29" s="16" t="s">
        <v>12</v>
      </c>
    </row>
    <row r="30" spans="1:11" ht="51" x14ac:dyDescent="0.2">
      <c r="A30" s="13">
        <v>5.2</v>
      </c>
      <c r="B30" s="40" t="s">
        <v>58</v>
      </c>
      <c r="C30" s="14">
        <v>4</v>
      </c>
      <c r="D30" s="14">
        <f t="shared" si="24"/>
        <v>4</v>
      </c>
      <c r="E30" s="14" t="str">
        <f t="shared" si="25"/>
        <v>d</v>
      </c>
      <c r="F30" s="15">
        <f t="shared" si="26"/>
        <v>4</v>
      </c>
      <c r="G30" s="15">
        <v>1</v>
      </c>
      <c r="H30" s="16" t="s">
        <v>12</v>
      </c>
      <c r="I30" s="16"/>
      <c r="J30" s="16" t="s">
        <v>12</v>
      </c>
      <c r="K30" s="16" t="s">
        <v>66</v>
      </c>
    </row>
    <row r="31" spans="1:11" ht="51" x14ac:dyDescent="0.2">
      <c r="A31" s="13">
        <v>5.3</v>
      </c>
      <c r="B31" s="40" t="s">
        <v>59</v>
      </c>
      <c r="C31" s="14">
        <v>4</v>
      </c>
      <c r="D31" s="14">
        <f t="shared" si="24"/>
        <v>4</v>
      </c>
      <c r="E31" s="14" t="str">
        <f t="shared" si="25"/>
        <v>d</v>
      </c>
      <c r="F31" s="15">
        <f t="shared" si="26"/>
        <v>3</v>
      </c>
      <c r="G31" s="15">
        <v>1</v>
      </c>
      <c r="H31" s="16" t="s">
        <v>12</v>
      </c>
      <c r="I31" s="16"/>
      <c r="J31" s="16" t="s">
        <v>66</v>
      </c>
      <c r="K31" s="16" t="s">
        <v>12</v>
      </c>
    </row>
    <row r="32" spans="1:11" x14ac:dyDescent="0.2">
      <c r="A32" s="18">
        <v>6</v>
      </c>
      <c r="B32" s="44" t="s">
        <v>46</v>
      </c>
      <c r="C32" s="45"/>
      <c r="D32" s="45"/>
      <c r="E32" s="45"/>
      <c r="F32" s="45"/>
      <c r="G32" s="45"/>
      <c r="H32" s="45"/>
      <c r="I32" s="45"/>
      <c r="J32" s="45"/>
      <c r="K32" s="45"/>
    </row>
    <row r="33" spans="1:11" ht="25.5" x14ac:dyDescent="0.2">
      <c r="A33" s="13">
        <v>6.1</v>
      </c>
      <c r="B33" s="40" t="s">
        <v>47</v>
      </c>
      <c r="C33" s="14">
        <f t="shared" ref="C33" si="27">4*G33</f>
        <v>4</v>
      </c>
      <c r="D33" s="14">
        <f t="shared" ref="D33:D35" si="28">IF(F33&gt;0,G33*4,0)</f>
        <v>4</v>
      </c>
      <c r="E33" s="14" t="str">
        <f t="shared" ref="E33:E35" si="29">IF(F33&gt;0,"d","")</f>
        <v>d</v>
      </c>
      <c r="F33" s="15">
        <f t="shared" ref="F33:F35" si="30">IF(H33="x",1,IF(I33="x",2,IF(J33="x",3,IF(K33="x",4,0))))</f>
        <v>2</v>
      </c>
      <c r="G33" s="15">
        <v>1</v>
      </c>
      <c r="H33" s="16" t="s">
        <v>12</v>
      </c>
      <c r="I33" s="16" t="s">
        <v>66</v>
      </c>
      <c r="J33" s="16" t="s">
        <v>12</v>
      </c>
      <c r="K33" s="16" t="s">
        <v>12</v>
      </c>
    </row>
    <row r="34" spans="1:11" ht="63.75" x14ac:dyDescent="0.2">
      <c r="A34" s="13">
        <v>6.2</v>
      </c>
      <c r="B34" s="40" t="s">
        <v>60</v>
      </c>
      <c r="C34" s="14">
        <v>4</v>
      </c>
      <c r="D34" s="14">
        <f t="shared" si="28"/>
        <v>4</v>
      </c>
      <c r="E34" s="14" t="str">
        <f t="shared" si="29"/>
        <v>d</v>
      </c>
      <c r="F34" s="15">
        <f t="shared" si="30"/>
        <v>2</v>
      </c>
      <c r="G34" s="15">
        <v>1</v>
      </c>
      <c r="H34" s="16" t="s">
        <v>12</v>
      </c>
      <c r="I34" s="16" t="s">
        <v>66</v>
      </c>
      <c r="J34" s="16" t="s">
        <v>12</v>
      </c>
      <c r="K34" s="16" t="s">
        <v>12</v>
      </c>
    </row>
    <row r="35" spans="1:11" ht="51" x14ac:dyDescent="0.2">
      <c r="A35" s="13">
        <v>6.3</v>
      </c>
      <c r="B35" s="40" t="s">
        <v>61</v>
      </c>
      <c r="C35" s="14">
        <v>4</v>
      </c>
      <c r="D35" s="14">
        <f t="shared" si="28"/>
        <v>4</v>
      </c>
      <c r="E35" s="14" t="str">
        <f t="shared" si="29"/>
        <v>d</v>
      </c>
      <c r="F35" s="15">
        <f t="shared" si="30"/>
        <v>4</v>
      </c>
      <c r="G35" s="15">
        <v>1</v>
      </c>
      <c r="H35" s="16" t="s">
        <v>12</v>
      </c>
      <c r="I35" s="16"/>
      <c r="J35" s="16" t="s">
        <v>12</v>
      </c>
      <c r="K35" s="16" t="s">
        <v>66</v>
      </c>
    </row>
    <row r="36" spans="1:11" x14ac:dyDescent="0.2">
      <c r="A36" s="18">
        <v>7</v>
      </c>
      <c r="B36" s="44" t="s">
        <v>52</v>
      </c>
      <c r="C36" s="45"/>
      <c r="D36" s="45"/>
      <c r="E36" s="45"/>
      <c r="F36" s="45"/>
      <c r="G36" s="45"/>
      <c r="H36" s="45"/>
      <c r="I36" s="45"/>
      <c r="J36" s="45"/>
      <c r="K36" s="45"/>
    </row>
    <row r="37" spans="1:11" ht="15" x14ac:dyDescent="0.2">
      <c r="A37" s="13">
        <v>7.1</v>
      </c>
      <c r="B37" s="40" t="s">
        <v>48</v>
      </c>
      <c r="C37" s="14">
        <f t="shared" ref="C37" si="31">4*G37</f>
        <v>4</v>
      </c>
      <c r="D37" s="14">
        <f t="shared" ref="D37:D39" si="32">IF(F37&gt;0,G37*4,0)</f>
        <v>4</v>
      </c>
      <c r="E37" s="14" t="str">
        <f t="shared" ref="E37:E39" si="33">IF(F37&gt;0,"d","")</f>
        <v>d</v>
      </c>
      <c r="F37" s="15">
        <f t="shared" ref="F37:F39" si="34">IF(H37="x",1,IF(I37="x",2,IF(J37="x",3,IF(K37="x",4,0))))</f>
        <v>4</v>
      </c>
      <c r="G37" s="15">
        <v>1</v>
      </c>
      <c r="H37" s="16" t="s">
        <v>12</v>
      </c>
      <c r="I37" s="16"/>
      <c r="J37" s="16" t="s">
        <v>12</v>
      </c>
      <c r="K37" s="16" t="s">
        <v>66</v>
      </c>
    </row>
    <row r="38" spans="1:11" ht="25.5" x14ac:dyDescent="0.2">
      <c r="A38" s="13">
        <v>7.2</v>
      </c>
      <c r="B38" s="40" t="s">
        <v>49</v>
      </c>
      <c r="C38" s="14">
        <v>4</v>
      </c>
      <c r="D38" s="14">
        <f t="shared" si="32"/>
        <v>4</v>
      </c>
      <c r="E38" s="14" t="str">
        <f t="shared" si="33"/>
        <v>d</v>
      </c>
      <c r="F38" s="15">
        <f t="shared" si="34"/>
        <v>4</v>
      </c>
      <c r="G38" s="15">
        <v>1</v>
      </c>
      <c r="H38" s="16" t="s">
        <v>12</v>
      </c>
      <c r="I38" s="16"/>
      <c r="J38" s="16" t="s">
        <v>12</v>
      </c>
      <c r="K38" s="16" t="s">
        <v>66</v>
      </c>
    </row>
    <row r="39" spans="1:11" ht="38.25" x14ac:dyDescent="0.2">
      <c r="A39" s="13">
        <v>7.3</v>
      </c>
      <c r="B39" s="40" t="s">
        <v>50</v>
      </c>
      <c r="C39" s="14">
        <v>4</v>
      </c>
      <c r="D39" s="14">
        <f t="shared" si="32"/>
        <v>4</v>
      </c>
      <c r="E39" s="14" t="str">
        <f t="shared" si="33"/>
        <v>d</v>
      </c>
      <c r="F39" s="15">
        <f t="shared" si="34"/>
        <v>4</v>
      </c>
      <c r="G39" s="15">
        <v>1</v>
      </c>
      <c r="H39" s="16" t="s">
        <v>12</v>
      </c>
      <c r="I39" s="16"/>
      <c r="J39" s="16" t="s">
        <v>12</v>
      </c>
      <c r="K39" s="16" t="s">
        <v>66</v>
      </c>
    </row>
    <row r="40" spans="1:11" ht="25.5" x14ac:dyDescent="0.2">
      <c r="A40" s="13">
        <v>4.2</v>
      </c>
      <c r="B40" s="40" t="s">
        <v>51</v>
      </c>
      <c r="C40" s="14">
        <v>4</v>
      </c>
      <c r="D40" s="14">
        <f t="shared" ref="D40" si="35">IF(F40&gt;0,G40*4,0)</f>
        <v>4</v>
      </c>
      <c r="E40" s="14" t="str">
        <f t="shared" ref="E40" si="36">IF(F40&gt;0,"d","")</f>
        <v>d</v>
      </c>
      <c r="F40" s="15">
        <f t="shared" ref="F40" si="37">IF(H40="x",1,IF(I40="x",2,IF(J40="x",3,IF(K40="x",4,0))))</f>
        <v>4</v>
      </c>
      <c r="G40" s="15">
        <v>1</v>
      </c>
      <c r="H40" s="16" t="s">
        <v>12</v>
      </c>
      <c r="I40" s="16"/>
      <c r="J40" s="16" t="s">
        <v>12</v>
      </c>
      <c r="K40" s="16" t="s">
        <v>66</v>
      </c>
    </row>
    <row r="41" spans="1:11" x14ac:dyDescent="0.2">
      <c r="A41" s="18">
        <v>8</v>
      </c>
      <c r="B41" s="46" t="s">
        <v>53</v>
      </c>
      <c r="C41" s="47"/>
      <c r="D41" s="47"/>
      <c r="E41" s="47"/>
      <c r="F41" s="47"/>
      <c r="G41" s="47"/>
      <c r="H41" s="47"/>
      <c r="I41" s="47"/>
      <c r="J41" s="47"/>
      <c r="K41" s="47"/>
    </row>
    <row r="42" spans="1:11" ht="51" x14ac:dyDescent="0.2">
      <c r="A42" s="13">
        <v>8.1</v>
      </c>
      <c r="B42" s="40" t="s">
        <v>62</v>
      </c>
      <c r="C42" s="14">
        <f t="shared" ref="C42" si="38">4*G42</f>
        <v>4</v>
      </c>
      <c r="D42" s="14">
        <f t="shared" ref="D42:D44" si="39">IF(F42&gt;0,G42*4,0)</f>
        <v>4</v>
      </c>
      <c r="E42" s="14" t="str">
        <f t="shared" ref="E42:E44" si="40">IF(F42&gt;0,"d","")</f>
        <v>d</v>
      </c>
      <c r="F42" s="15">
        <f t="shared" ref="F42:F44" si="41">IF(H42="x",1,IF(I42="x",2,IF(J42="x",3,IF(K42="x",4,0))))</f>
        <v>4</v>
      </c>
      <c r="G42" s="15">
        <v>1</v>
      </c>
      <c r="H42" s="16" t="s">
        <v>12</v>
      </c>
      <c r="I42" s="16"/>
      <c r="J42" s="16" t="s">
        <v>12</v>
      </c>
      <c r="K42" s="16" t="s">
        <v>66</v>
      </c>
    </row>
    <row r="43" spans="1:11" ht="25.5" x14ac:dyDescent="0.2">
      <c r="A43" s="13">
        <v>8.1999999999999993</v>
      </c>
      <c r="B43" s="40" t="s">
        <v>54</v>
      </c>
      <c r="C43" s="14">
        <v>4</v>
      </c>
      <c r="D43" s="14">
        <f t="shared" ref="D43" si="42">IF(F43&gt;0,G43*4,0)</f>
        <v>4</v>
      </c>
      <c r="E43" s="14" t="str">
        <f t="shared" ref="E43" si="43">IF(F43&gt;0,"d","")</f>
        <v>d</v>
      </c>
      <c r="F43" s="15">
        <f t="shared" ref="F43" si="44">IF(H43="x",1,IF(I43="x",2,IF(J43="x",3,IF(K43="x",4,0))))</f>
        <v>4</v>
      </c>
      <c r="G43" s="15">
        <v>1</v>
      </c>
      <c r="H43" s="16" t="s">
        <v>12</v>
      </c>
      <c r="I43" s="16"/>
      <c r="J43" s="16" t="s">
        <v>12</v>
      </c>
      <c r="K43" s="16" t="s">
        <v>66</v>
      </c>
    </row>
    <row r="44" spans="1:11" ht="25.5" x14ac:dyDescent="0.2">
      <c r="A44" s="13">
        <v>8.3000000000000007</v>
      </c>
      <c r="B44" s="40" t="s">
        <v>55</v>
      </c>
      <c r="C44" s="14">
        <v>4</v>
      </c>
      <c r="D44" s="14">
        <f t="shared" si="39"/>
        <v>4</v>
      </c>
      <c r="E44" s="14" t="str">
        <f t="shared" si="40"/>
        <v>d</v>
      </c>
      <c r="F44" s="15">
        <f t="shared" si="41"/>
        <v>4</v>
      </c>
      <c r="G44" s="15">
        <v>1</v>
      </c>
      <c r="H44" s="16" t="s">
        <v>12</v>
      </c>
      <c r="I44" s="16"/>
      <c r="J44" s="16" t="s">
        <v>12</v>
      </c>
      <c r="K44" s="16" t="s">
        <v>66</v>
      </c>
    </row>
    <row r="45" spans="1:11" x14ac:dyDescent="0.2">
      <c r="B45" s="20"/>
      <c r="C45" s="21"/>
      <c r="D45" s="21"/>
      <c r="E45" s="21"/>
      <c r="F45" s="19"/>
      <c r="G45" s="19"/>
      <c r="H45" s="19"/>
      <c r="I45" s="19"/>
      <c r="J45" s="19"/>
      <c r="K45" s="19"/>
    </row>
    <row r="46" spans="1:11" x14ac:dyDescent="0.2">
      <c r="B46" s="20" t="s">
        <v>13</v>
      </c>
      <c r="C46" s="21">
        <f>SUM(C7:C44)</f>
        <v>120</v>
      </c>
      <c r="D46" s="21">
        <f>SUM(D7:D44)</f>
        <v>120</v>
      </c>
      <c r="E46" s="21">
        <f t="shared" ref="E46:F46" si="45">SUM(E7:E44)</f>
        <v>0</v>
      </c>
      <c r="F46" s="21">
        <f t="shared" si="45"/>
        <v>104</v>
      </c>
      <c r="G46" s="19"/>
      <c r="H46" s="19"/>
      <c r="I46" s="19"/>
      <c r="J46" s="19"/>
      <c r="K46" s="19"/>
    </row>
    <row r="47" spans="1:11" ht="8.25" customHeight="1" x14ac:dyDescent="0.2">
      <c r="B47" s="20"/>
      <c r="C47" s="21"/>
      <c r="D47" s="21"/>
      <c r="E47" s="21"/>
      <c r="F47" s="21"/>
      <c r="G47" s="19"/>
      <c r="H47" s="19"/>
      <c r="I47" s="19"/>
      <c r="J47" s="19"/>
      <c r="K47" s="19"/>
    </row>
    <row r="48" spans="1:11" x14ac:dyDescent="0.2">
      <c r="B48" s="20" t="s">
        <v>14</v>
      </c>
      <c r="C48" s="21"/>
      <c r="D48" s="21"/>
      <c r="E48" s="21"/>
      <c r="F48" s="19"/>
      <c r="G48" s="19"/>
      <c r="H48" s="17">
        <v>2.2999999999999998</v>
      </c>
      <c r="I48" s="17">
        <v>3.5</v>
      </c>
      <c r="J48" s="17">
        <v>4.8</v>
      </c>
      <c r="K48" s="17">
        <v>6</v>
      </c>
    </row>
    <row r="49" spans="1:11" x14ac:dyDescent="0.2">
      <c r="B49" s="20"/>
      <c r="C49" s="21"/>
      <c r="D49" s="21"/>
      <c r="E49" s="21"/>
      <c r="F49" s="19"/>
      <c r="G49" s="19"/>
      <c r="H49" s="19"/>
      <c r="I49" s="19"/>
      <c r="J49" s="19"/>
      <c r="K49" s="19"/>
    </row>
    <row r="50" spans="1:11" ht="15" x14ac:dyDescent="0.2">
      <c r="B50" s="20" t="s">
        <v>15</v>
      </c>
      <c r="D50" s="21"/>
      <c r="F50" s="21">
        <f>C46</f>
        <v>120</v>
      </c>
      <c r="G50" s="22"/>
      <c r="H50" s="19"/>
      <c r="I50" s="19"/>
      <c r="J50" s="19"/>
      <c r="K50" s="19"/>
    </row>
    <row r="51" spans="1:11" x14ac:dyDescent="0.2">
      <c r="B51" s="20" t="s">
        <v>16</v>
      </c>
      <c r="D51" s="21"/>
      <c r="F51" s="21">
        <f>F46</f>
        <v>104</v>
      </c>
      <c r="G51" s="19"/>
      <c r="H51" s="19"/>
      <c r="I51" s="19"/>
      <c r="J51" s="19"/>
      <c r="K51" s="19"/>
    </row>
    <row r="52" spans="1:11" ht="8.25" customHeight="1" x14ac:dyDescent="0.2">
      <c r="B52" s="20"/>
      <c r="D52" s="21"/>
      <c r="F52" s="21"/>
      <c r="G52" s="22"/>
      <c r="H52" s="19"/>
      <c r="I52" s="19"/>
      <c r="J52" s="19"/>
      <c r="K52" s="19"/>
    </row>
    <row r="53" spans="1:11" ht="15" x14ac:dyDescent="0.2">
      <c r="B53" s="20" t="s">
        <v>17</v>
      </c>
      <c r="D53" s="21"/>
      <c r="F53" s="21">
        <f>E46</f>
        <v>0</v>
      </c>
      <c r="G53" s="22"/>
      <c r="H53" s="19"/>
      <c r="I53" s="19"/>
      <c r="J53" s="19"/>
      <c r="K53" s="19"/>
    </row>
    <row r="54" spans="1:11" x14ac:dyDescent="0.2">
      <c r="B54" s="20" t="s">
        <v>18</v>
      </c>
      <c r="D54" s="21"/>
      <c r="F54" s="21">
        <f>COUNT(F3:F44)</f>
        <v>30</v>
      </c>
      <c r="G54" s="19"/>
    </row>
    <row r="55" spans="1:11" ht="7.5" customHeight="1" x14ac:dyDescent="0.2">
      <c r="B55" s="20"/>
      <c r="D55" s="21"/>
      <c r="F55" s="21"/>
      <c r="G55" s="19"/>
      <c r="H55" s="19"/>
      <c r="I55" s="19"/>
      <c r="J55" s="19"/>
      <c r="K55" s="19"/>
    </row>
    <row r="56" spans="1:11" ht="15" x14ac:dyDescent="0.2">
      <c r="B56" s="20" t="s">
        <v>19</v>
      </c>
      <c r="D56" s="21"/>
      <c r="F56" s="23">
        <f>IF(D46&gt;0,ROUND(5/D46*F51+1,1),1)</f>
        <v>5.3</v>
      </c>
      <c r="G56" s="19"/>
      <c r="H56" s="19"/>
      <c r="I56" s="19"/>
      <c r="J56" s="19"/>
      <c r="K56" s="19"/>
    </row>
    <row r="57" spans="1:11" ht="7.5" customHeight="1" x14ac:dyDescent="0.2">
      <c r="B57" s="20"/>
      <c r="D57" s="24"/>
      <c r="F57" s="24"/>
      <c r="G57" s="19"/>
      <c r="H57" s="19"/>
      <c r="I57" s="19"/>
      <c r="J57" s="19"/>
      <c r="K57" s="19"/>
    </row>
    <row r="58" spans="1:11" ht="15" x14ac:dyDescent="0.2">
      <c r="B58" s="20" t="s">
        <v>20</v>
      </c>
      <c r="C58" s="24">
        <f>5/F50*F51+1</f>
        <v>5.333333333333333</v>
      </c>
      <c r="D58" s="24"/>
      <c r="E58" s="21"/>
      <c r="F58" s="25">
        <f>ROUND(C58*2,0)/2</f>
        <v>5.5</v>
      </c>
      <c r="G58" s="19"/>
      <c r="H58" s="19"/>
      <c r="I58" s="19"/>
      <c r="J58" s="19"/>
      <c r="K58" s="19"/>
    </row>
    <row r="59" spans="1:11" ht="51" customHeight="1" x14ac:dyDescent="0.2">
      <c r="A59" s="28" t="s">
        <v>21</v>
      </c>
      <c r="B59" s="29" t="s">
        <v>22</v>
      </c>
      <c r="C59" s="30"/>
      <c r="D59" s="30"/>
      <c r="E59" s="30"/>
      <c r="F59" s="31">
        <v>0</v>
      </c>
    </row>
    <row r="60" spans="1:11" ht="53.25" customHeight="1" x14ac:dyDescent="0.2">
      <c r="A60" s="32" t="s">
        <v>8</v>
      </c>
      <c r="B60" s="33" t="s">
        <v>23</v>
      </c>
      <c r="C60" s="34"/>
      <c r="D60" s="34"/>
      <c r="E60" s="34"/>
      <c r="F60" s="35">
        <v>1</v>
      </c>
    </row>
    <row r="61" spans="1:11" ht="31.5" x14ac:dyDescent="0.2">
      <c r="A61" s="32" t="s">
        <v>9</v>
      </c>
      <c r="B61" s="33" t="s">
        <v>24</v>
      </c>
      <c r="C61" s="34"/>
      <c r="D61" s="34"/>
      <c r="E61" s="34"/>
      <c r="F61" s="35">
        <v>2</v>
      </c>
    </row>
    <row r="62" spans="1:11" ht="31.5" x14ac:dyDescent="0.2">
      <c r="A62" s="32" t="s">
        <v>10</v>
      </c>
      <c r="B62" s="33" t="s">
        <v>25</v>
      </c>
      <c r="C62" s="34"/>
      <c r="D62" s="34"/>
      <c r="E62" s="34"/>
      <c r="F62" s="35">
        <v>3</v>
      </c>
    </row>
    <row r="63" spans="1:11" ht="31.5" x14ac:dyDescent="0.2">
      <c r="A63" s="36" t="s">
        <v>11</v>
      </c>
      <c r="B63" s="37" t="s">
        <v>26</v>
      </c>
      <c r="C63" s="38"/>
      <c r="D63" s="38"/>
      <c r="E63" s="38"/>
      <c r="F63" s="39">
        <v>4</v>
      </c>
    </row>
    <row r="64" spans="1:11" ht="22.5" x14ac:dyDescent="0.3">
      <c r="A64" s="26"/>
      <c r="B64" s="26"/>
      <c r="C64" s="26"/>
      <c r="D64" s="26"/>
      <c r="E64" s="27"/>
    </row>
  </sheetData>
  <mergeCells count="10">
    <mergeCell ref="B20:K20"/>
    <mergeCell ref="B41:K41"/>
    <mergeCell ref="A4:B4"/>
    <mergeCell ref="B6:K6"/>
    <mergeCell ref="B11:K11"/>
    <mergeCell ref="B15:K15"/>
    <mergeCell ref="B24:K24"/>
    <mergeCell ref="B28:K28"/>
    <mergeCell ref="B32:K32"/>
    <mergeCell ref="B36:K36"/>
  </mergeCells>
  <phoneticPr fontId="0" type="noConversion"/>
  <pageMargins left="0.78740157480314965" right="0.78740157480314965" top="0.98425196850393704" bottom="0.98425196850393704" header="0.51181102362204722" footer="0.51181102362204722"/>
  <pageSetup paperSize="9" orientation="portrait" horizontalDpi="4294967295" verticalDpi="4294967295"/>
  <headerFooter alignWithMargins="0">
    <oddHeader>&amp;L&amp;"Arial,Fett"&amp;12Modulprüfung&amp;C&amp;"Arial,Fett"&amp;12MP-CH-307-1100&amp;R&amp;"Arial,Fett"&amp;12Korrektur</oddHeader>
    <oddFooter>&amp;LZLI, &amp;D&amp;CKandidat/in: &amp;A&amp;RSeite &amp;P/&amp;N</oddFooter>
  </headerFooter>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vt:i4>
      </vt:variant>
      <vt:variant>
        <vt:lpstr>Benannte Bereiche</vt:lpstr>
      </vt:variant>
      <vt:variant>
        <vt:i4>1</vt:i4>
      </vt:variant>
    </vt:vector>
  </HeadingPairs>
  <TitlesOfParts>
    <vt:vector size="2" baseType="lpstr">
      <vt:lpstr>Muster Hans</vt:lpstr>
      <vt:lpstr>'Muster Hans'!Druckbereich</vt:lpstr>
    </vt:vector>
  </TitlesOfParts>
  <Company>ZLI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 i-ch 307</dc:title>
  <dc:subject>Interaktive Webseite erstellen</dc:subject>
  <dc:creator>Pius Senn</dc:creator>
  <cp:lastModifiedBy>bbw</cp:lastModifiedBy>
  <cp:lastPrinted>2014-11-14T12:37:20Z</cp:lastPrinted>
  <dcterms:created xsi:type="dcterms:W3CDTF">2003-01-13T09:25:10Z</dcterms:created>
  <dcterms:modified xsi:type="dcterms:W3CDTF">2017-01-31T14:50:53Z</dcterms:modified>
</cp:coreProperties>
</file>